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Metrics_Summary" sheetId="1" state="visible" r:id="rId1"/>
    <sheet xmlns:r="http://schemas.openxmlformats.org/officeDocument/2006/relationships" name="Region_Segment" sheetId="2" state="visible" r:id="rId2"/>
    <sheet xmlns:r="http://schemas.openxmlformats.org/officeDocument/2006/relationships" name="Device_Segment" sheetId="3" state="visible" r:id="rId3"/>
    <sheet xmlns:r="http://schemas.openxmlformats.org/officeDocument/2006/relationships" name="TrafficSrc_Seg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;0.00%"/>
    <numFmt numFmtId="165" formatCode="$#,##0.00"/>
    <numFmt numFmtId="166" formatCode="+$#,##0.00;-$#,##0.00;$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999999"/>
      <sz val="9"/>
    </font>
    <font>
      <name val="Arial"/>
      <sz val="10"/>
    </font>
    <font>
      <name val="Arial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2E6DA4"/>
        <bgColor rgb="002E6DA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8" customWidth="1" min="4" max="4"/>
  </cols>
  <sheetData>
    <row r="1">
      <c r="A1" s="1" t="inlineStr">
        <is>
          <t>Campaign Experiment — Core Metrics Comparison</t>
        </is>
      </c>
    </row>
    <row r="2">
      <c r="A2" s="2" t="inlineStr">
        <is>
          <t>Metric</t>
        </is>
      </c>
      <c r="B2" s="2" t="inlineStr">
        <is>
          <t>Control</t>
        </is>
      </c>
      <c r="C2" s="2" t="inlineStr">
        <is>
          <t>Treatment</t>
        </is>
      </c>
      <c r="D2" s="2" t="inlineStr">
        <is>
          <t>Δ (Treatment − Control)</t>
        </is>
      </c>
    </row>
    <row r="3">
      <c r="A3" s="3" t="inlineStr">
        <is>
          <t>n_users</t>
        </is>
      </c>
      <c r="B3" s="3" t="n">
        <v>690</v>
      </c>
      <c r="C3" s="3" t="n">
        <v>710</v>
      </c>
    </row>
    <row r="4">
      <c r="A4" s="3" t="inlineStr">
        <is>
          <t>lp_visitors</t>
        </is>
      </c>
      <c r="B4" s="3" t="n">
        <v>439</v>
      </c>
      <c r="C4" s="3" t="n">
        <v>514</v>
      </c>
    </row>
    <row r="5">
      <c r="A5" s="3" t="inlineStr">
        <is>
          <t>trial_starters</t>
        </is>
      </c>
      <c r="B5" s="3" t="n">
        <v>173</v>
      </c>
      <c r="C5" s="3" t="n">
        <v>206</v>
      </c>
    </row>
    <row r="6">
      <c r="A6" s="3" t="inlineStr">
        <is>
          <t>onboard_comp</t>
        </is>
      </c>
      <c r="B6" s="3" t="n">
        <v>108</v>
      </c>
      <c r="C6" s="3" t="n">
        <v>150</v>
      </c>
    </row>
    <row r="7">
      <c r="A7" s="3" t="inlineStr">
        <is>
          <t>converters</t>
        </is>
      </c>
      <c r="B7" s="3" t="n">
        <v>22</v>
      </c>
      <c r="C7" s="3" t="n">
        <v>50</v>
      </c>
    </row>
    <row r="8">
      <c r="A8" s="3" t="inlineStr">
        <is>
          <t>total_rev</t>
        </is>
      </c>
      <c r="B8" s="3" t="n">
        <v>35862.28</v>
      </c>
      <c r="C8" s="3" t="n">
        <v>38520.71</v>
      </c>
    </row>
    <row r="9">
      <c r="A9" s="3" t="inlineStr">
        <is>
          <t>rev_conv_only</t>
        </is>
      </c>
      <c r="B9" s="3" t="n">
        <v>35862.28</v>
      </c>
      <c r="C9" s="3" t="n">
        <v>38520.71</v>
      </c>
    </row>
    <row r="10">
      <c r="A10" s="3" t="inlineStr">
        <is>
          <t>refunds</t>
        </is>
      </c>
      <c r="B10" s="3" t="n">
        <v>0</v>
      </c>
      <c r="C10" s="3" t="n">
        <v>3</v>
      </c>
    </row>
    <row r="11">
      <c r="A11" s="3" t="inlineStr">
        <is>
          <t>tickets</t>
        </is>
      </c>
      <c r="B11" s="3" t="n">
        <v>152</v>
      </c>
      <c r="C11" s="3" t="n">
        <v>265</v>
      </c>
    </row>
    <row r="12">
      <c r="A12" s="3" t="inlineStr">
        <is>
          <t>eng_sum</t>
        </is>
      </c>
      <c r="B12" s="3" t="n">
        <v>39346.59999999999</v>
      </c>
      <c r="C12" s="3" t="n">
        <v>44684.7</v>
      </c>
    </row>
    <row r="13">
      <c r="A13" s="3" t="inlineStr">
        <is>
          <t>dtc_sum</t>
        </is>
      </c>
      <c r="B13" s="3" t="n">
        <v>195</v>
      </c>
      <c r="C13" s="3" t="n">
        <v>320</v>
      </c>
    </row>
    <row r="14">
      <c r="A14" s="3" t="inlineStr">
        <is>
          <t>dtc_n</t>
        </is>
      </c>
      <c r="B14" s="3" t="n">
        <v>22</v>
      </c>
      <c r="C14" s="3" t="n">
        <v>50</v>
      </c>
    </row>
    <row r="22">
      <c r="A22" s="4" t="inlineStr">
        <is>
          <t>User Count</t>
        </is>
      </c>
      <c r="B22" s="5">
        <f>B3</f>
        <v/>
      </c>
      <c r="C22" s="5">
        <f>C3</f>
        <v/>
      </c>
      <c r="D22" s="5">
        <f>C22-B22</f>
        <v/>
      </c>
    </row>
    <row r="23">
      <c r="A23" s="6" t="inlineStr">
        <is>
          <t>Landing Page Visit Rate</t>
        </is>
      </c>
      <c r="B23" s="7">
        <f>B4/B3</f>
        <v/>
      </c>
      <c r="C23" s="7">
        <f>C4/C3</f>
        <v/>
      </c>
      <c r="D23" s="8">
        <f>C23-B23</f>
        <v/>
      </c>
    </row>
    <row r="24">
      <c r="A24" s="4" t="inlineStr">
        <is>
          <t>Trial Start Rate</t>
        </is>
      </c>
      <c r="B24" s="9">
        <f>B5/B3</f>
        <v/>
      </c>
      <c r="C24" s="9">
        <f>C5/C3</f>
        <v/>
      </c>
      <c r="D24" s="10">
        <f>C24-B24</f>
        <v/>
      </c>
    </row>
    <row r="25">
      <c r="A25" s="6" t="inlineStr">
        <is>
          <t>Onboarding Completion Rate</t>
        </is>
      </c>
      <c r="B25" s="7">
        <f>B6/B3</f>
        <v/>
      </c>
      <c r="C25" s="7">
        <f>C6/C3</f>
        <v/>
      </c>
      <c r="D25" s="8">
        <f>C25-B25</f>
        <v/>
      </c>
    </row>
    <row r="26">
      <c r="A26" s="4" t="inlineStr">
        <is>
          <t>Paid Conversion Rate</t>
        </is>
      </c>
      <c r="B26" s="9">
        <f>B7/B3</f>
        <v/>
      </c>
      <c r="C26" s="9">
        <f>C7/C3</f>
        <v/>
      </c>
      <c r="D26" s="10">
        <f>C26-B26</f>
        <v/>
      </c>
    </row>
    <row r="27">
      <c r="A27" s="6" t="inlineStr">
        <is>
          <t>Avg Revenue per User (USD)</t>
        </is>
      </c>
      <c r="B27" s="11">
        <f>B8/B3</f>
        <v/>
      </c>
      <c r="C27" s="11">
        <f>C8/C3</f>
        <v/>
      </c>
      <c r="D27" s="12">
        <f>C27-B27</f>
        <v/>
      </c>
    </row>
    <row r="28">
      <c r="A28" s="4" t="inlineStr">
        <is>
          <t>Avg Revenue per Converted User</t>
        </is>
      </c>
      <c r="B28" s="13">
        <f>B9/B7</f>
        <v/>
      </c>
      <c r="C28" s="13">
        <f>C9/C7</f>
        <v/>
      </c>
      <c r="D28" s="14">
        <f>C28-B28</f>
        <v/>
      </c>
    </row>
    <row r="29">
      <c r="A29" s="6" t="inlineStr">
        <is>
          <t>Refund Rate</t>
        </is>
      </c>
      <c r="B29" s="7">
        <f>B10/B3</f>
        <v/>
      </c>
      <c r="C29" s="7">
        <f>C10/C3</f>
        <v/>
      </c>
      <c r="D29" s="8">
        <f>C29-B29</f>
        <v/>
      </c>
    </row>
    <row r="30">
      <c r="A30" s="4" t="inlineStr">
        <is>
          <t>Support Ticket Rate</t>
        </is>
      </c>
      <c r="B30" s="9">
        <f>B11/B3</f>
        <v/>
      </c>
      <c r="C30" s="9">
        <f>C11/C3</f>
        <v/>
      </c>
      <c r="D30" s="10">
        <f>C30-B30</f>
        <v/>
      </c>
    </row>
    <row r="31">
      <c r="A31" s="6" t="inlineStr">
        <is>
          <t>Avg Engagement Score</t>
        </is>
      </c>
      <c r="B31" s="15">
        <f>B12/B3</f>
        <v/>
      </c>
      <c r="C31" s="15">
        <f>C12/C3</f>
        <v/>
      </c>
      <c r="D31" s="15">
        <f>C31-B31</f>
        <v/>
      </c>
    </row>
    <row r="32">
      <c r="A32" s="4" t="inlineStr">
        <is>
          <t>Avg Days to Convert</t>
        </is>
      </c>
      <c r="B32" s="5">
        <f>IF(B14&gt;0,B13/B14,"N/A")</f>
        <v/>
      </c>
      <c r="C32" s="5">
        <f>IF(C14&gt;0,C13/C14,"N/A")</f>
        <v/>
      </c>
      <c r="D32" s="4">
        <f>IF(AND(ISNUMBER(B32),ISNUMBER(C32)),C32-B32,"N/A")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6" t="inlineStr">
        <is>
          <t>Segment Analysis: Region_Segment</t>
        </is>
      </c>
    </row>
    <row r="2">
      <c r="A2" s="2" t="inlineStr">
        <is>
          <t>region</t>
        </is>
      </c>
      <c r="B2" s="2" t="inlineStr">
        <is>
          <t>Group</t>
        </is>
      </c>
      <c r="C2" s="2" t="inlineStr">
        <is>
          <t>Users</t>
        </is>
      </c>
      <c r="D2" s="2" t="inlineStr">
        <is>
          <t>Conv Rate</t>
        </is>
      </c>
      <c r="E2" s="2" t="inlineStr">
        <is>
          <t>Avg Revenue/User</t>
        </is>
      </c>
      <c r="F2" s="2" t="inlineStr">
        <is>
          <t>Avg Engagement</t>
        </is>
      </c>
    </row>
    <row r="3">
      <c r="A3" s="6" t="inlineStr">
        <is>
          <t>East</t>
        </is>
      </c>
      <c r="B3" s="6" t="inlineStr">
        <is>
          <t>Control</t>
        </is>
      </c>
      <c r="C3" s="6" t="n">
        <v>157</v>
      </c>
      <c r="D3" s="7" t="n">
        <v>0.0255</v>
      </c>
      <c r="E3" s="11" t="n">
        <v>18.23</v>
      </c>
      <c r="F3" s="6" t="n">
        <v>56.56</v>
      </c>
    </row>
    <row r="4">
      <c r="A4" s="4" t="inlineStr">
        <is>
          <t>East</t>
        </is>
      </c>
      <c r="B4" s="4" t="inlineStr">
        <is>
          <t>Treatment</t>
        </is>
      </c>
      <c r="C4" s="4" t="n">
        <v>170</v>
      </c>
      <c r="D4" s="9" t="n">
        <v>0.06469999999999999</v>
      </c>
      <c r="E4" s="13" t="n">
        <v>47.05</v>
      </c>
      <c r="F4" s="4" t="n">
        <v>63.3</v>
      </c>
    </row>
    <row r="5">
      <c r="A5" s="6" t="inlineStr">
        <is>
          <t>North</t>
        </is>
      </c>
      <c r="B5" s="6" t="inlineStr">
        <is>
          <t>Control</t>
        </is>
      </c>
      <c r="C5" s="6" t="n">
        <v>201</v>
      </c>
      <c r="D5" s="7" t="n">
        <v>0.0348</v>
      </c>
      <c r="E5" s="11" t="n">
        <v>84.5</v>
      </c>
      <c r="F5" s="6" t="n">
        <v>57.6</v>
      </c>
    </row>
    <row r="6">
      <c r="A6" s="4" t="inlineStr">
        <is>
          <t>North</t>
        </is>
      </c>
      <c r="B6" s="4" t="inlineStr">
        <is>
          <t>Treatment</t>
        </is>
      </c>
      <c r="C6" s="4" t="n">
        <v>180</v>
      </c>
      <c r="D6" s="9" t="n">
        <v>0.08890000000000001</v>
      </c>
      <c r="E6" s="13" t="n">
        <v>80.97</v>
      </c>
      <c r="F6" s="4" t="n">
        <v>63.14</v>
      </c>
    </row>
    <row r="7">
      <c r="A7" s="6" t="inlineStr">
        <is>
          <t>South</t>
        </is>
      </c>
      <c r="B7" s="6" t="inlineStr">
        <is>
          <t>Control</t>
        </is>
      </c>
      <c r="C7" s="6" t="n">
        <v>184</v>
      </c>
      <c r="D7" s="7" t="n">
        <v>0.0326</v>
      </c>
      <c r="E7" s="11" t="n">
        <v>76.03</v>
      </c>
      <c r="F7" s="6" t="n">
        <v>56.9</v>
      </c>
    </row>
    <row r="8">
      <c r="A8" s="4" t="inlineStr">
        <is>
          <t>South</t>
        </is>
      </c>
      <c r="B8" s="4" t="inlineStr">
        <is>
          <t>Treatment</t>
        </is>
      </c>
      <c r="C8" s="4" t="n">
        <v>183</v>
      </c>
      <c r="D8" s="9" t="n">
        <v>0.0765</v>
      </c>
      <c r="E8" s="13" t="n">
        <v>47.26</v>
      </c>
      <c r="F8" s="4" t="n">
        <v>62.12</v>
      </c>
    </row>
    <row r="9">
      <c r="A9" s="6" t="inlineStr">
        <is>
          <t>West</t>
        </is>
      </c>
      <c r="B9" s="6" t="inlineStr">
        <is>
          <t>Control</t>
        </is>
      </c>
      <c r="C9" s="6" t="n">
        <v>148</v>
      </c>
      <c r="D9" s="7" t="n">
        <v>0.0338</v>
      </c>
      <c r="E9" s="11" t="n">
        <v>13.68</v>
      </c>
      <c r="F9" s="6" t="n">
        <v>56.9</v>
      </c>
    </row>
    <row r="10">
      <c r="A10" s="4" t="inlineStr">
        <is>
          <t>West</t>
        </is>
      </c>
      <c r="B10" s="4" t="inlineStr">
        <is>
          <t>Treatment</t>
        </is>
      </c>
      <c r="C10" s="4" t="n">
        <v>177</v>
      </c>
      <c r="D10" s="9" t="n">
        <v>0.0508</v>
      </c>
      <c r="E10" s="13" t="n">
        <v>41.24</v>
      </c>
      <c r="F10" s="4" t="n">
        <v>63.22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6" t="inlineStr">
        <is>
          <t>Segment Analysis: Device_Segment</t>
        </is>
      </c>
    </row>
    <row r="2">
      <c r="A2" s="2" t="inlineStr">
        <is>
          <t>device_type</t>
        </is>
      </c>
      <c r="B2" s="2" t="inlineStr">
        <is>
          <t>Group</t>
        </is>
      </c>
      <c r="C2" s="2" t="inlineStr">
        <is>
          <t>Users</t>
        </is>
      </c>
      <c r="D2" s="2" t="inlineStr">
        <is>
          <t>Conv Rate</t>
        </is>
      </c>
      <c r="E2" s="2" t="inlineStr">
        <is>
          <t>Avg Revenue/User</t>
        </is>
      </c>
      <c r="F2" s="2" t="inlineStr">
        <is>
          <t>Avg Engagement</t>
        </is>
      </c>
    </row>
    <row r="3">
      <c r="A3" s="6" t="inlineStr">
        <is>
          <t>Desktop</t>
        </is>
      </c>
      <c r="B3" s="6" t="inlineStr">
        <is>
          <t>Control</t>
        </is>
      </c>
      <c r="C3" s="6" t="n">
        <v>200</v>
      </c>
      <c r="D3" s="7" t="n">
        <v>0.045</v>
      </c>
      <c r="E3" s="11" t="n">
        <v>84.94</v>
      </c>
      <c r="F3" s="6" t="n">
        <v>57.21</v>
      </c>
    </row>
    <row r="4">
      <c r="A4" s="4" t="inlineStr">
        <is>
          <t>Desktop</t>
        </is>
      </c>
      <c r="B4" s="4" t="inlineStr">
        <is>
          <t>Treatment</t>
        </is>
      </c>
      <c r="C4" s="4" t="n">
        <v>213</v>
      </c>
      <c r="D4" s="9" t="n">
        <v>0.06569999999999999</v>
      </c>
      <c r="E4" s="13" t="n">
        <v>41.15</v>
      </c>
      <c r="F4" s="4" t="n">
        <v>63.2</v>
      </c>
    </row>
    <row r="5">
      <c r="A5" s="6" t="inlineStr">
        <is>
          <t>Mobile</t>
        </is>
      </c>
      <c r="B5" s="6" t="inlineStr">
        <is>
          <t>Control</t>
        </is>
      </c>
      <c r="C5" s="6" t="n">
        <v>426</v>
      </c>
      <c r="D5" s="7" t="n">
        <v>0.0258</v>
      </c>
      <c r="E5" s="11" t="n">
        <v>42.04</v>
      </c>
      <c r="F5" s="6" t="n">
        <v>57.35</v>
      </c>
    </row>
    <row r="6">
      <c r="A6" s="4" t="inlineStr">
        <is>
          <t>Mobile</t>
        </is>
      </c>
      <c r="B6" s="4" t="inlineStr">
        <is>
          <t>Treatment</t>
        </is>
      </c>
      <c r="C6" s="4" t="n">
        <v>432</v>
      </c>
      <c r="D6" s="9" t="n">
        <v>0.0741</v>
      </c>
      <c r="E6" s="13" t="n">
        <v>59.37</v>
      </c>
      <c r="F6" s="4" t="n">
        <v>62.81</v>
      </c>
    </row>
    <row r="7">
      <c r="A7" s="6" t="inlineStr">
        <is>
          <t>Tablet</t>
        </is>
      </c>
      <c r="B7" s="6" t="inlineStr">
        <is>
          <t>Control</t>
        </is>
      </c>
      <c r="C7" s="6" t="n">
        <v>55</v>
      </c>
      <c r="D7" s="7" t="n">
        <v>0.0182</v>
      </c>
      <c r="E7" s="11" t="n">
        <v>7.44</v>
      </c>
      <c r="F7" s="6" t="n">
        <v>55.68</v>
      </c>
    </row>
    <row r="8">
      <c r="A8" s="4" t="inlineStr">
        <is>
          <t>Tablet</t>
        </is>
      </c>
      <c r="B8" s="4" t="inlineStr">
        <is>
          <t>Treatment</t>
        </is>
      </c>
      <c r="C8" s="4" t="n">
        <v>56</v>
      </c>
      <c r="D8" s="9" t="n">
        <v>0.07140000000000001</v>
      </c>
      <c r="E8" s="13" t="n">
        <v>73.33</v>
      </c>
      <c r="F8" s="4" t="n">
        <v>63.01</v>
      </c>
    </row>
    <row r="9">
      <c r="A9" s="6" t="inlineStr">
        <is>
          <t>Unknown</t>
        </is>
      </c>
      <c r="B9" s="6" t="inlineStr">
        <is>
          <t>Control</t>
        </is>
      </c>
      <c r="C9" s="6" t="n">
        <v>9</v>
      </c>
      <c r="D9" s="7" t="n">
        <v>0.1111</v>
      </c>
      <c r="E9" s="11" t="n">
        <v>61.49</v>
      </c>
      <c r="F9" s="6" t="n">
        <v>45.5</v>
      </c>
    </row>
    <row r="10">
      <c r="A10" s="4" t="inlineStr">
        <is>
          <t>Unknown</t>
        </is>
      </c>
      <c r="B10" s="4" t="inlineStr">
        <is>
          <t>Treatment</t>
        </is>
      </c>
      <c r="C10" s="4" t="n">
        <v>9</v>
      </c>
      <c r="D10" s="9" t="n">
        <v>0</v>
      </c>
      <c r="E10" s="13" t="n">
        <v>0</v>
      </c>
      <c r="F10" s="4" t="n">
        <v>62.17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6" t="inlineStr">
        <is>
          <t>Segment Analysis: TrafficSrc_Segment</t>
        </is>
      </c>
    </row>
    <row r="2">
      <c r="A2" s="2" t="inlineStr">
        <is>
          <t>traffic_source</t>
        </is>
      </c>
      <c r="B2" s="2" t="inlineStr">
        <is>
          <t>Group</t>
        </is>
      </c>
      <c r="C2" s="2" t="inlineStr">
        <is>
          <t>Users</t>
        </is>
      </c>
      <c r="D2" s="2" t="inlineStr">
        <is>
          <t>Conv Rate</t>
        </is>
      </c>
      <c r="E2" s="2" t="inlineStr">
        <is>
          <t>Avg Revenue/User</t>
        </is>
      </c>
      <c r="F2" s="2" t="inlineStr">
        <is>
          <t>Avg Engagement</t>
        </is>
      </c>
    </row>
    <row r="3">
      <c r="A3" s="6" t="inlineStr">
        <is>
          <t>Email</t>
        </is>
      </c>
      <c r="B3" s="6" t="inlineStr">
        <is>
          <t>Control</t>
        </is>
      </c>
      <c r="C3" s="6" t="n">
        <v>73</v>
      </c>
      <c r="D3" s="7" t="n">
        <v>0.0274</v>
      </c>
      <c r="E3" s="11" t="n">
        <v>29.11</v>
      </c>
      <c r="F3" s="6" t="n">
        <v>57.79</v>
      </c>
    </row>
    <row r="4">
      <c r="A4" s="4" t="inlineStr">
        <is>
          <t>Email</t>
        </is>
      </c>
      <c r="B4" s="4" t="inlineStr">
        <is>
          <t>Treatment</t>
        </is>
      </c>
      <c r="C4" s="4" t="n">
        <v>56</v>
      </c>
      <c r="D4" s="9" t="n">
        <v>0.07140000000000001</v>
      </c>
      <c r="E4" s="13" t="n">
        <v>44.98</v>
      </c>
      <c r="F4" s="4" t="n">
        <v>62.24</v>
      </c>
    </row>
    <row r="5">
      <c r="A5" s="6" t="inlineStr">
        <is>
          <t>Organic</t>
        </is>
      </c>
      <c r="B5" s="6" t="inlineStr">
        <is>
          <t>Control</t>
        </is>
      </c>
      <c r="C5" s="6" t="n">
        <v>246</v>
      </c>
      <c r="D5" s="7" t="n">
        <v>0.0203</v>
      </c>
      <c r="E5" s="11" t="n">
        <v>42.51</v>
      </c>
      <c r="F5" s="6" t="n">
        <v>58.44</v>
      </c>
    </row>
    <row r="6">
      <c r="A6" s="4" t="inlineStr">
        <is>
          <t>Organic</t>
        </is>
      </c>
      <c r="B6" s="4" t="inlineStr">
        <is>
          <t>Treatment</t>
        </is>
      </c>
      <c r="C6" s="4" t="n">
        <v>237</v>
      </c>
      <c r="D6" s="9" t="n">
        <v>0.0633</v>
      </c>
      <c r="E6" s="13" t="n">
        <v>51.56</v>
      </c>
      <c r="F6" s="4" t="n">
        <v>61.59</v>
      </c>
    </row>
    <row r="7">
      <c r="A7" s="6" t="inlineStr">
        <is>
          <t>Paid Search</t>
        </is>
      </c>
      <c r="B7" s="6" t="inlineStr">
        <is>
          <t>Control</t>
        </is>
      </c>
      <c r="C7" s="6" t="n">
        <v>155</v>
      </c>
      <c r="D7" s="7" t="n">
        <v>0.0129</v>
      </c>
      <c r="E7" s="11" t="n">
        <v>10.91</v>
      </c>
      <c r="F7" s="6" t="n">
        <v>54.67</v>
      </c>
    </row>
    <row r="8">
      <c r="A8" s="4" t="inlineStr">
        <is>
          <t>Paid Search</t>
        </is>
      </c>
      <c r="B8" s="4" t="inlineStr">
        <is>
          <t>Treatment</t>
        </is>
      </c>
      <c r="C8" s="4" t="n">
        <v>176</v>
      </c>
      <c r="D8" s="9" t="n">
        <v>0.0625</v>
      </c>
      <c r="E8" s="13" t="n">
        <v>34.78</v>
      </c>
      <c r="F8" s="4" t="n">
        <v>62.83</v>
      </c>
    </row>
    <row r="9">
      <c r="A9" s="6" t="inlineStr">
        <is>
          <t>Referral</t>
        </is>
      </c>
      <c r="B9" s="6" t="inlineStr">
        <is>
          <t>Control</t>
        </is>
      </c>
      <c r="C9" s="6" t="n">
        <v>81</v>
      </c>
      <c r="D9" s="7" t="n">
        <v>0.0247</v>
      </c>
      <c r="E9" s="11" t="n">
        <v>33.31</v>
      </c>
      <c r="F9" s="6" t="n">
        <v>58.35</v>
      </c>
    </row>
    <row r="10">
      <c r="A10" s="4" t="inlineStr">
        <is>
          <t>Referral</t>
        </is>
      </c>
      <c r="B10" s="4" t="inlineStr">
        <is>
          <t>Treatment</t>
        </is>
      </c>
      <c r="C10" s="4" t="n">
        <v>91</v>
      </c>
      <c r="D10" s="9" t="n">
        <v>0.1099</v>
      </c>
      <c r="E10" s="13" t="n">
        <v>103</v>
      </c>
      <c r="F10" s="4" t="n">
        <v>64.18000000000001</v>
      </c>
    </row>
    <row r="11">
      <c r="A11" s="6" t="inlineStr">
        <is>
          <t>Social</t>
        </is>
      </c>
      <c r="B11" s="6" t="inlineStr">
        <is>
          <t>Control</t>
        </is>
      </c>
      <c r="C11" s="6" t="n">
        <v>129</v>
      </c>
      <c r="D11" s="7" t="n">
        <v>0.0775</v>
      </c>
      <c r="E11" s="11" t="n">
        <v>137.14</v>
      </c>
      <c r="F11" s="6" t="n">
        <v>55.83</v>
      </c>
    </row>
    <row r="12">
      <c r="A12" s="4" t="inlineStr">
        <is>
          <t>Social</t>
        </is>
      </c>
      <c r="B12" s="4" t="inlineStr">
        <is>
          <t>Treatment</t>
        </is>
      </c>
      <c r="C12" s="4" t="n">
        <v>132</v>
      </c>
      <c r="D12" s="9" t="n">
        <v>0.0606</v>
      </c>
      <c r="E12" s="13" t="n">
        <v>51.94</v>
      </c>
      <c r="F12" s="4" t="n">
        <v>63.76</v>
      </c>
    </row>
    <row r="13">
      <c r="A13" s="6" t="inlineStr">
        <is>
          <t>Unknown</t>
        </is>
      </c>
      <c r="B13" s="6" t="inlineStr">
        <is>
          <t>Control</t>
        </is>
      </c>
      <c r="C13" s="6" t="n">
        <v>6</v>
      </c>
      <c r="D13" s="7" t="n">
        <v>0.1667</v>
      </c>
      <c r="E13" s="11" t="n">
        <v>199.78</v>
      </c>
      <c r="F13" s="6" t="n">
        <v>58.18</v>
      </c>
    </row>
    <row r="14">
      <c r="A14" s="4" t="inlineStr">
        <is>
          <t>Unknown</t>
        </is>
      </c>
      <c r="B14" s="4" t="inlineStr">
        <is>
          <t>Treatment</t>
        </is>
      </c>
      <c r="C14" s="4" t="n">
        <v>18</v>
      </c>
      <c r="D14" s="9" t="n">
        <v>0.1111</v>
      </c>
      <c r="E14" s="13" t="n">
        <v>79.45</v>
      </c>
      <c r="F14" s="4" t="n">
        <v>71.52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2026-06-26T10:40:03Z</dcterms:created>
  <dcterms:modified xmlns:dcterms="http://purl.org/dc/terms/" xmlns:xsi="http://www.w3.org/2001/XMLSchema-instance" xsi:type="dcterms:W3CDTF">2026-06-26T10:40:03Z</dcterms:modified>
</cp:coreProperties>
</file>